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견적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cols>
    <col min="1" max="1" width="5.83203125" customWidth="1"/>
    <col min="2" max="2" width="34.83203125" customWidth="1"/>
    <col min="3" max="3" width="16.83203125" customWidth="1"/>
    <col min="4" max="4" width="7.83203125" customWidth="1"/>
    <col min="5" max="5" width="6.83203125" customWidth="1"/>
    <col min="6" max="6" width="14.83203125" customWidth="1"/>
    <col min="7" max="7" width="15.83203125" customWidth="1"/>
    <col min="8" max="8" width="18.83203125" customWidth="1"/>
  </cols>
  <sheetData>
    <row r="1">
      <c r="A1" t="str">
        <v>견 적 서</v>
      </c>
    </row>
    <row r="2">
      <c r="A2" t="str">
        <v>문서번호 Q-20260812-001</v>
      </c>
      <c r="F2" t="str">
        <v>발행일 2026-08-12</v>
      </c>
    </row>
    <row r="4">
      <c r="A4" t="str">
        <v>공급받는자</v>
      </c>
      <c r="E4" t="str">
        <v>공급자</v>
      </c>
    </row>
    <row r="5">
      <c r="A5" t="str">
        <v>(주)가나다 귀중</v>
      </c>
      <c r="E5" t="str">
        <v>상호  (주)엔케이스튜디오</v>
      </c>
    </row>
    <row r="6">
      <c r="A6" t="str">
        <v>담당  이과장 마케팅팀</v>
      </c>
      <c r="E6" t="str">
        <v>등록번호  123-45-67890</v>
      </c>
    </row>
    <row r="7">
      <c r="A7" t="str">
        <v>연락처  02-111-2222</v>
      </c>
      <c r="E7" t="str">
        <v>대표  홍길동</v>
      </c>
    </row>
    <row r="8">
      <c r="A8" t="str">
        <v>이메일  b@example.com</v>
      </c>
      <c r="E8" t="str">
        <v>업태/종목  정보통신업 / 영상 콘텐츠 제작</v>
      </c>
    </row>
    <row r="9">
      <c r="A9" t="str">
        <v>주소  서울시 마포구</v>
      </c>
      <c r="E9" t="str">
        <v>주소  서울특별시 강남구 테헤란로 000</v>
      </c>
    </row>
    <row r="10">
      <c r="E10" t="str">
        <v>전화  02-000-0000  팩스 02-000-0001</v>
      </c>
    </row>
    <row r="12">
      <c r="A12" t="str">
        <v>합계금액</v>
      </c>
      <c r="B12" t="str">
        <v>금구백일십사만삼천원정  (₩9,143,000)</v>
      </c>
    </row>
    <row r="14">
      <c r="A14" t="str">
        <v>No</v>
      </c>
      <c r="B14" t="str">
        <v>품명</v>
      </c>
      <c r="C14" t="str">
        <v>규격</v>
      </c>
      <c r="D14" t="str">
        <v>수량</v>
      </c>
      <c r="E14" t="str">
        <v>단위</v>
      </c>
      <c r="F14" t="str">
        <v>단가</v>
      </c>
      <c r="G14" t="str">
        <v>금액</v>
      </c>
      <c r="H14" t="str">
        <v>비고</v>
      </c>
    </row>
    <row r="15">
      <c r="B15" t="str">
        <v>■ 기획</v>
      </c>
    </row>
    <row r="16">
      <c r="A16" t="str">
        <v>1</v>
      </c>
      <c r="B16" t="str">
        <v>컨셉 기획 및 스토리보드</v>
      </c>
      <c r="C16" t="str">
        <v>A안·B안</v>
      </c>
      <c r="D16">
        <v>1</v>
      </c>
      <c r="E16" t="str">
        <v>식</v>
      </c>
      <c r="F16" s="1">
        <v>1200000</v>
      </c>
      <c r="G16" s="1">
        <f>D16*F16</f>
        <v>1200000</v>
      </c>
    </row>
    <row r="17">
      <c r="A17" t="str">
        <v>2</v>
      </c>
      <c r="B17" t="str">
        <v>시나리오 작성</v>
      </c>
      <c r="C17" t="str">
        <v>60초</v>
      </c>
      <c r="D17">
        <v>1</v>
      </c>
      <c r="E17" t="str">
        <v>식</v>
      </c>
      <c r="F17" s="1">
        <v>800000</v>
      </c>
      <c r="G17" s="1">
        <f>D17*F17</f>
        <v>800000</v>
      </c>
    </row>
    <row r="18">
      <c r="B18" t="str">
        <v>소계</v>
      </c>
      <c r="G18" s="1">
        <f>SUM(G16:G17)</f>
        <v>2000000</v>
      </c>
    </row>
    <row r="19">
      <c r="B19" t="str">
        <v>■ 제작</v>
      </c>
    </row>
    <row r="20">
      <c r="A20" t="str">
        <v>3</v>
      </c>
      <c r="B20" t="str">
        <v>메인 영상 제작</v>
      </c>
      <c r="C20" t="str">
        <v>60초 / 4K</v>
      </c>
      <c r="D20">
        <v>1</v>
      </c>
      <c r="E20" t="str">
        <v>편</v>
      </c>
      <c r="F20" s="1">
        <v>4500000</v>
      </c>
      <c r="G20" s="1">
        <f>D20*F20</f>
        <v>4500000</v>
      </c>
    </row>
    <row r="21">
      <c r="A21" t="str">
        <v>4</v>
      </c>
      <c r="B21" t="str">
        <v>숏폼 리사이즈</v>
      </c>
      <c r="C21" t="str">
        <v>9:16</v>
      </c>
      <c r="D21">
        <v>3</v>
      </c>
      <c r="E21" t="str">
        <v>편</v>
      </c>
      <c r="F21" s="1">
        <v>400000</v>
      </c>
      <c r="G21" s="1">
        <f>D21*F21</f>
        <v>1200000</v>
      </c>
      <c r="H21" t="str">
        <v>SNS용</v>
      </c>
    </row>
    <row r="22">
      <c r="B22" t="str">
        <v>소계</v>
      </c>
      <c r="G22" s="1">
        <f>SUM(G20:G21)</f>
        <v>5700000</v>
      </c>
    </row>
    <row r="23">
      <c r="B23" t="str">
        <v>■ 수정</v>
      </c>
    </row>
    <row r="24">
      <c r="A24" t="str">
        <v>5</v>
      </c>
      <c r="B24" t="str">
        <v>수정 (2회 포함)</v>
      </c>
      <c r="C24" t="str">
        <v>회차당</v>
      </c>
      <c r="D24">
        <v>2</v>
      </c>
      <c r="E24" t="str">
        <v>회</v>
      </c>
      <c r="F24" s="1">
        <v>300000</v>
      </c>
      <c r="G24" s="1">
        <f>D24*F24</f>
        <v>600000</v>
      </c>
      <c r="H24" t="str">
        <v>3회차부터 별도</v>
      </c>
    </row>
    <row r="25">
      <c r="B25" t="str">
        <v>소계</v>
      </c>
      <c r="G25" s="1">
        <f>SUM(G24:G24)</f>
        <v>600000</v>
      </c>
    </row>
    <row r="26">
      <c r="B26" t="str">
        <v>■ 실비</v>
      </c>
    </row>
    <row r="27">
      <c r="A27" t="str">
        <v>6</v>
      </c>
      <c r="B27" t="str">
        <v>유료 폰트 라이선스</v>
      </c>
      <c r="C27" t="str">
        <v>1년</v>
      </c>
      <c r="D27">
        <v>1</v>
      </c>
      <c r="E27" t="str">
        <v>식</v>
      </c>
      <c r="F27" s="1">
        <v>150000</v>
      </c>
      <c r="G27" s="1">
        <f>D27*F27</f>
        <v>150000</v>
      </c>
      <c r="H27" t="str">
        <v>실비</v>
      </c>
    </row>
    <row r="28">
      <c r="A28" t="str">
        <v>7</v>
      </c>
      <c r="B28" t="str">
        <v>스톡 영상 소스</v>
      </c>
      <c r="C28" t="str">
        <v>5컷</v>
      </c>
      <c r="D28">
        <v>5</v>
      </c>
      <c r="E28" t="str">
        <v>컷</v>
      </c>
      <c r="F28" s="1">
        <v>60000</v>
      </c>
      <c r="G28" s="1">
        <f>D28*F28</f>
        <v>300000</v>
      </c>
      <c r="H28" t="str">
        <v>실비</v>
      </c>
    </row>
    <row r="29">
      <c r="B29" t="str">
        <v>실비 소계</v>
      </c>
      <c r="G29" s="1">
        <f>SUM(G27:G28)</f>
        <v>450000</v>
      </c>
    </row>
    <row r="31">
      <c r="F31" t="str">
        <v>소계</v>
      </c>
      <c r="G31" s="1">
        <f>G18+G22+G25+G29</f>
        <v>8750000</v>
      </c>
    </row>
    <row r="32">
      <c r="F32" t="str">
        <v>할인</v>
      </c>
      <c r="G32" s="1">
        <f>-ROUND(G31*5/100,0)</f>
        <v>-437500</v>
      </c>
    </row>
    <row r="33">
      <c r="F33" t="str">
        <v>부가세</v>
      </c>
      <c r="G33" s="1">
        <f>ROUND((G31+G32)*0.1,0)</f>
        <v>831250</v>
      </c>
    </row>
    <row r="34">
      <c r="F34" t="str">
        <v>단수조정</v>
      </c>
      <c r="G34" s="1">
        <f>FLOOR((G31+G32)+G33,1000)-((G31+G32)+G33)</f>
        <v>-750</v>
      </c>
    </row>
    <row r="35">
      <c r="F35" t="str">
        <v>합계</v>
      </c>
      <c r="G35" s="1">
        <f>(G31+G32)+G33+G34</f>
        <v>9143000</v>
      </c>
    </row>
    <row r="37">
      <c r="A37" t="str">
        <v>특이사항</v>
      </c>
    </row>
    <row r="38">
      <c r="A38" t="str">
        <v>유효기간</v>
      </c>
      <c r="B38" t="str">
        <v>2026-09-11 까지</v>
      </c>
    </row>
    <row r="39">
      <c r="A39" t="str">
        <v>납기일</v>
      </c>
      <c r="B39" t="str">
        <v>2026-09-30</v>
      </c>
    </row>
    <row r="40">
      <c r="A40" t="str">
        <v>납품장소</v>
      </c>
      <c r="B40" t="str">
        <v>클라우드 스토리지</v>
      </c>
    </row>
    <row r="41">
      <c r="A41" t="str">
        <v>결제조건</v>
      </c>
      <c r="B41" t="str">
        <v>계약 시 50%</v>
      </c>
    </row>
    <row r="42">
      <c r="A42" t="str">
        <v>입금계좌</v>
      </c>
      <c r="B42" t="str">
        <v>국민은행 123456-01-234567 (예금주 (주)엔케이스튜디오)</v>
      </c>
    </row>
    <row r="44">
      <c r="A44" t="str">
        <v>비고</v>
      </c>
      <c r="B44" t="str">
        <v>실사 촬영은 미포함.</v>
      </c>
    </row>
  </sheetData>
  <mergeCells count="20">
    <mergeCell ref="A1:H1"/>
    <mergeCell ref="A5:D5"/>
    <mergeCell ref="E5:H5"/>
    <mergeCell ref="A6:D6"/>
    <mergeCell ref="E6:H6"/>
    <mergeCell ref="A7:D7"/>
    <mergeCell ref="E7:H7"/>
    <mergeCell ref="A8:D8"/>
    <mergeCell ref="E8:H8"/>
    <mergeCell ref="A9:D9"/>
    <mergeCell ref="E9:H9"/>
    <mergeCell ref="A10:D10"/>
    <mergeCell ref="E10:H10"/>
    <mergeCell ref="B12:H12"/>
    <mergeCell ref="B38:H38"/>
    <mergeCell ref="B39:H39"/>
    <mergeCell ref="B40:H40"/>
    <mergeCell ref="B41:H41"/>
    <mergeCell ref="B42:H42"/>
    <mergeCell ref="B44:H44"/>
  </mergeCells>
  <ignoredErrors>
    <ignoredError numberStoredAsText="1" sqref="A1: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